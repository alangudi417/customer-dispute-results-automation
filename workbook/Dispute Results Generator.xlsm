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results-automation\workbook\"/>
    </mc:Choice>
  </mc:AlternateContent>
  <xr:revisionPtr revIDLastSave="0" documentId="13_ncr:1_{D6EB2AE6-A68C-480F-B625-3568868C090F}" xr6:coauthVersionLast="47" xr6:coauthVersionMax="47" xr10:uidLastSave="{00000000-0000-0000-0000-000000000000}"/>
  <bookViews>
    <workbookView xWindow="-108" yWindow="-108" windowWidth="23256" windowHeight="12456" xr2:uid="{BBFAD2A2-3FCC-48CD-8527-2FAE56265C18}"/>
  </bookViews>
  <sheets>
    <sheet name="Mai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1" i="1"/>
  <c r="M15" i="1"/>
  <c r="L14" i="1"/>
  <c r="L18" i="1"/>
  <c r="L20" i="1"/>
  <c r="M19" i="1"/>
  <c r="M22" i="1"/>
  <c r="L22" i="1"/>
  <c r="M21" i="1"/>
  <c r="L21" i="1"/>
  <c r="M20" i="1"/>
  <c r="L19" i="1"/>
  <c r="M18" i="1"/>
  <c r="M17" i="1"/>
  <c r="L17" i="1"/>
  <c r="M16" i="1"/>
  <c r="L16" i="1"/>
  <c r="L15" i="1"/>
  <c r="M13" i="1"/>
  <c r="L13" i="1"/>
  <c r="M14" i="1" l="1"/>
</calcChain>
</file>

<file path=xl/sharedStrings.xml><?xml version="1.0" encoding="utf-8"?>
<sst xmlns="http://schemas.openxmlformats.org/spreadsheetml/2006/main" count="42" uniqueCount="36">
  <si>
    <t>Date</t>
  </si>
  <si>
    <t>Dispute Results Generator</t>
  </si>
  <si>
    <t>File Dispute R.</t>
  </si>
  <si>
    <t>Dispute results - FY26</t>
  </si>
  <si>
    <t>Folder New</t>
  </si>
  <si>
    <t>Folder Old</t>
  </si>
  <si>
    <t>File New / Old</t>
  </si>
  <si>
    <t>AOR</t>
  </si>
  <si>
    <t xml:space="preserve">Owner </t>
  </si>
  <si>
    <t>QTY</t>
  </si>
  <si>
    <t>&gt; 90 Days</t>
  </si>
  <si>
    <t>&gt; 180 Days</t>
  </si>
  <si>
    <t>% &gt; 90 Days</t>
  </si>
  <si>
    <t>% &gt; 180 Days</t>
  </si>
  <si>
    <t>QTY Closed</t>
  </si>
  <si>
    <t xml:space="preserve">Value closed </t>
  </si>
  <si>
    <t xml:space="preserve">QTY Open </t>
  </si>
  <si>
    <t>Value Open</t>
  </si>
  <si>
    <t>Cerradas 180 dias</t>
  </si>
  <si>
    <t>Cerradas 90 dias</t>
  </si>
  <si>
    <t>Andrea</t>
  </si>
  <si>
    <t>Miscellaneous</t>
  </si>
  <si>
    <t>Region Integrated</t>
  </si>
  <si>
    <t>Global</t>
  </si>
  <si>
    <t>Central East</t>
  </si>
  <si>
    <t>North America</t>
  </si>
  <si>
    <t>Africa</t>
  </si>
  <si>
    <t>Latam</t>
  </si>
  <si>
    <t>Oceania</t>
  </si>
  <si>
    <t>Asia</t>
  </si>
  <si>
    <t>South America</t>
  </si>
  <si>
    <t>Rupert Lamas</t>
  </si>
  <si>
    <t>Jessica Ramirez</t>
  </si>
  <si>
    <t>Terrence Gou</t>
  </si>
  <si>
    <t>/sample_data/new</t>
  </si>
  <si>
    <t>/sample_data/old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</si>
</sst>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  <numFmt numFmtId="166" formatCode="mm/dd/yyyy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  <scheme val="minor"/>
    </font>
    <font>
      <b/>
      <sz val="24"/>
      <color theme="7" tint="-0.249977111117893"/>
      <name val="Aptos Narrow"/>
      <family val="2"/>
      <scheme val="minor"/>
    </font>
    <font>
      <b/>
      <sz val="10"/>
      <name val="Arial"/>
      <family val="2"/>
    </font>
    <font>
      <b/>
      <sz val="8"/>
      <name val="Arial"/>
      <family val="2"/>
    </font>
    <font>
      <sz val="12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2" xfId="0" applyBorder="1"/>
    <xf numFmtId="0" fontId="0" fillId="0" borderId="7" xfId="0" applyBorder="1"/>
    <xf numFmtId="0" fontId="0" fillId="0" borderId="6" xfId="0" applyBorder="1"/>
    <xf numFmtId="0" fontId="0" fillId="0" borderId="5" xfId="0" applyBorder="1"/>
    <xf numFmtId="0" fontId="0" fillId="2" borderId="3" xfId="0" applyFill="1" applyBorder="1" applyAlignment="1">
      <alignment horizontal="center"/>
    </xf>
    <xf numFmtId="0" fontId="0" fillId="0" borderId="8" xfId="0" applyBorder="1" applyAlignment="1">
      <alignment vertical="top"/>
    </xf>
    <xf numFmtId="0" fontId="2" fillId="0" borderId="2" xfId="0" applyFont="1" applyBorder="1"/>
    <xf numFmtId="0" fontId="1" fillId="0" borderId="8" xfId="0" applyFont="1" applyBorder="1" applyAlignment="1">
      <alignment horizontal="center" vertical="center" wrapText="1"/>
    </xf>
    <xf numFmtId="14" fontId="6" fillId="0" borderId="8" xfId="0" applyNumberFormat="1" applyFont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2" fontId="6" fillId="0" borderId="8" xfId="0" applyNumberFormat="1" applyFont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44" fontId="1" fillId="5" borderId="8" xfId="1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0" fillId="0" borderId="8" xfId="0" applyBorder="1"/>
    <xf numFmtId="165" fontId="0" fillId="0" borderId="9" xfId="2" applyNumberFormat="1" applyFont="1" applyFill="1" applyBorder="1" applyAlignment="1">
      <alignment vertical="top"/>
    </xf>
    <xf numFmtId="2" fontId="0" fillId="6" borderId="8" xfId="0" applyNumberFormat="1" applyFill="1" applyBorder="1" applyAlignment="1">
      <alignment horizontal="center"/>
    </xf>
    <xf numFmtId="164" fontId="0" fillId="6" borderId="8" xfId="1" applyNumberFormat="1" applyFont="1" applyFill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9" xfId="2" applyNumberFormat="1" applyFont="1" applyFill="1" applyBorder="1" applyAlignment="1">
      <alignment vertical="top"/>
    </xf>
    <xf numFmtId="166" fontId="6" fillId="0" borderId="8" xfId="0" applyNumberFormat="1" applyFont="1" applyBorder="1" applyAlignment="1">
      <alignment horizontal="center" vertical="center" wrapText="1"/>
    </xf>
    <xf numFmtId="164" fontId="0" fillId="0" borderId="2" xfId="0" applyNumberFormat="1" applyBorder="1"/>
    <xf numFmtId="0" fontId="8" fillId="0" borderId="2" xfId="0" applyFont="1" applyBorder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</cellXfs>
  <cellStyles count="3">
    <cellStyle name="Currency" xfId="1" builtinId="4"/>
    <cellStyle name="Currency 2" xfId="2" xr:uid="{FC0F6D91-CB32-4941-8AAF-224BBBF8BEA2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358140</xdr:colOff>
      <xdr:row>7</xdr:row>
      <xdr:rowOff>144780</xdr:rowOff>
    </xdr:from>
    <xdr:to>
      <xdr:col>11</xdr:col>
      <xdr:colOff>327660</xdr:colOff>
      <xdr:row>9</xdr:row>
      <xdr:rowOff>144780</xdr:rowOff>
    </xdr:to>
    <xdr:sp macro="[0]!dispute_resul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A84F6DC-9262-1ACF-061A-1BF402F0273D}"/>
            </a:ext>
          </a:extLst>
        </xdr:cNvPr>
        <xdr:cNvSpPr/>
      </xdr:nvSpPr>
      <xdr:spPr>
        <a:xfrm>
          <a:off x="5364480" y="1554480"/>
          <a:ext cx="339852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kern="1200"/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F2B69-4D85-47BF-9D7F-451C31A78C11}">
  <sheetPr codeName="Sheet1"/>
  <dimension ref="A1:XFC35"/>
  <sheetViews>
    <sheetView tabSelected="1" zoomScaleNormal="100" workbookViewId="0">
      <selection activeCell="F10" sqref="F10"/>
    </sheetView>
  </sheetViews>
  <sheetFormatPr defaultColWidth="0" defaultRowHeight="14.4" zeroHeight="1" x14ac:dyDescent="0.3"/>
  <cols>
    <col min="1" max="1" width="4.44140625" style="1" customWidth="1"/>
    <col min="2" max="2" width="17.33203125" style="1" bestFit="1" customWidth="1"/>
    <col min="3" max="3" width="13.21875" style="1" customWidth="1"/>
    <col min="4" max="7" width="13.77734375" style="1" bestFit="1" customWidth="1"/>
    <col min="8" max="8" width="12.6640625" style="1" bestFit="1" customWidth="1"/>
    <col min="9" max="10" width="8.21875" style="1" customWidth="1"/>
    <col min="11" max="13" width="8.21875" customWidth="1"/>
    <col min="14" max="14" width="11.5546875" customWidth="1"/>
    <col min="15" max="15" width="13.33203125" customWidth="1"/>
    <col min="16" max="16" width="11.5546875" customWidth="1"/>
    <col min="17" max="17" width="13.33203125" customWidth="1"/>
    <col min="18" max="19" width="8.44140625" customWidth="1"/>
    <col min="20" max="20" width="3.33203125" customWidth="1"/>
    <col min="21" max="48" width="0.33203125" customWidth="1"/>
    <col min="49" max="16381" width="11.5546875" hidden="1" customWidth="1"/>
    <col min="16382" max="16382" width="6.77734375" hidden="1" customWidth="1"/>
    <col min="16383" max="16383" width="6" hidden="1" customWidth="1"/>
    <col min="16384" max="16384" width="9.21875" hidden="1" customWidth="1"/>
  </cols>
  <sheetData>
    <row r="1" spans="1:48" ht="15.6" x14ac:dyDescent="0.3">
      <c r="A1" s="24"/>
      <c r="B1" s="1" t="s">
        <v>0</v>
      </c>
      <c r="C1" s="23" t="str">
        <f ca="1">CONCATENATE(TEXT(MONTH(TODAY()),"dd"),"-",TEXT(DAY(TODAY()),"dd"),"-",RIGHT(YEAR(TODAY()),2))</f>
        <v>06-30-26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 ht="15.6" x14ac:dyDescent="0.3">
      <c r="A2" s="25"/>
      <c r="B2" s="1" t="s">
        <v>2</v>
      </c>
      <c r="C2" s="23" t="s">
        <v>3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ht="15.6" x14ac:dyDescent="0.3">
      <c r="A3" s="25"/>
      <c r="B3" s="1" t="s">
        <v>6</v>
      </c>
      <c r="C3" s="23" t="str">
        <f ca="1">CONCATENATE("Open Disputes File"," ",TEXT(MONTH(TODAY()),"dd"),"-",TEXT(DAY(TODAY()),"dd"),"-",RIGHT(YEAR(TODAY()),2),".xlsm")</f>
        <v>Open Disputes File 06-30-26.xlsm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ht="15.6" x14ac:dyDescent="0.3">
      <c r="A4" s="25"/>
      <c r="B4" s="1" t="s">
        <v>4</v>
      </c>
      <c r="C4" s="23" t="s">
        <v>34</v>
      </c>
      <c r="E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ht="15.6" x14ac:dyDescent="0.3">
      <c r="A5" s="5"/>
      <c r="B5" s="1" t="s">
        <v>5</v>
      </c>
      <c r="C5" s="23" t="s">
        <v>35</v>
      </c>
      <c r="E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</row>
    <row r="6" spans="1:48" x14ac:dyDescent="0.3"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</row>
    <row r="7" spans="1:48" ht="24.6" customHeight="1" x14ac:dyDescent="0.3">
      <c r="A7" s="26" t="s">
        <v>1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7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</row>
    <row r="8" spans="1:48" x14ac:dyDescent="0.3"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 x14ac:dyDescent="0.3"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</row>
    <row r="10" spans="1:48" x14ac:dyDescent="0.3">
      <c r="G10" s="4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</row>
    <row r="11" spans="1:48" x14ac:dyDescent="0.3">
      <c r="A11" s="3"/>
      <c r="K11" s="1"/>
      <c r="L11" s="1"/>
      <c r="M11" s="1"/>
      <c r="N11" s="1"/>
      <c r="O11" s="1"/>
      <c r="P11" s="1"/>
      <c r="Q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</row>
    <row r="12" spans="1:48" ht="26.4" x14ac:dyDescent="0.3">
      <c r="B12" s="8" t="s">
        <v>7</v>
      </c>
      <c r="C12" s="8" t="s">
        <v>8</v>
      </c>
      <c r="D12" s="9">
        <v>46167</v>
      </c>
      <c r="E12" s="9">
        <v>46174</v>
      </c>
      <c r="F12" s="9">
        <v>46181</v>
      </c>
      <c r="G12" s="9">
        <v>46188</v>
      </c>
      <c r="H12" s="21">
        <v>46195</v>
      </c>
      <c r="I12" s="9" t="s">
        <v>9</v>
      </c>
      <c r="J12" s="10" t="s">
        <v>10</v>
      </c>
      <c r="K12" s="10" t="s">
        <v>11</v>
      </c>
      <c r="L12" s="11" t="s">
        <v>12</v>
      </c>
      <c r="M12" s="11" t="s">
        <v>13</v>
      </c>
      <c r="N12" s="12" t="s">
        <v>14</v>
      </c>
      <c r="O12" s="13" t="s">
        <v>15</v>
      </c>
      <c r="P12" s="12" t="s">
        <v>16</v>
      </c>
      <c r="Q12" s="13" t="s">
        <v>17</v>
      </c>
      <c r="R12" s="14" t="s">
        <v>18</v>
      </c>
      <c r="S12" s="14" t="s">
        <v>19</v>
      </c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</row>
    <row r="13" spans="1:48" x14ac:dyDescent="0.3">
      <c r="B13" s="6" t="s">
        <v>22</v>
      </c>
      <c r="C13" s="15" t="s">
        <v>31</v>
      </c>
      <c r="D13" s="16">
        <v>1261903.5399999998</v>
      </c>
      <c r="E13" s="16">
        <v>1130978.6699999997</v>
      </c>
      <c r="F13" s="16">
        <v>1316735.03</v>
      </c>
      <c r="G13" s="16">
        <v>2500463.9900000002</v>
      </c>
      <c r="H13" s="16">
        <v>2507846.7100000004</v>
      </c>
      <c r="I13" s="20">
        <v>493</v>
      </c>
      <c r="J13" s="20">
        <v>101</v>
      </c>
      <c r="K13" s="20">
        <v>290</v>
      </c>
      <c r="L13" s="17">
        <f>+(J13+K13)/I13*100</f>
        <v>79.310344827586206</v>
      </c>
      <c r="M13" s="17">
        <f>+K13/I13*100</f>
        <v>58.82352941176471</v>
      </c>
      <c r="N13" s="19">
        <v>5</v>
      </c>
      <c r="O13" s="18">
        <v>107927.17000000001</v>
      </c>
      <c r="P13" s="19">
        <v>14</v>
      </c>
      <c r="Q13" s="18">
        <v>108649.89</v>
      </c>
      <c r="R13" s="19">
        <v>0</v>
      </c>
      <c r="S13" s="19">
        <v>1</v>
      </c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</row>
    <row r="14" spans="1:48" x14ac:dyDescent="0.3">
      <c r="B14" s="6" t="s">
        <v>23</v>
      </c>
      <c r="C14" s="15" t="s">
        <v>31</v>
      </c>
      <c r="D14" s="16">
        <v>1909566.6100000003</v>
      </c>
      <c r="E14" s="16">
        <v>1700687.7199999986</v>
      </c>
      <c r="F14" s="16">
        <v>1712527.0299999993</v>
      </c>
      <c r="G14" s="16">
        <v>1733890.7899999993</v>
      </c>
      <c r="H14" s="16">
        <v>1677636.1899999995</v>
      </c>
      <c r="I14" s="20">
        <v>235</v>
      </c>
      <c r="J14" s="20">
        <v>41</v>
      </c>
      <c r="K14" s="20">
        <v>37</v>
      </c>
      <c r="L14" s="17">
        <f t="shared" ref="L14:L22" si="0">+(J14+K14)/I14*100</f>
        <v>33.191489361702125</v>
      </c>
      <c r="M14" s="17">
        <f t="shared" ref="M14:M22" si="1">+K14/I14*100</f>
        <v>15.74468085106383</v>
      </c>
      <c r="N14" s="19">
        <v>55</v>
      </c>
      <c r="O14" s="18">
        <v>163554.26999999999</v>
      </c>
      <c r="P14" s="19">
        <v>40</v>
      </c>
      <c r="Q14" s="18">
        <v>111940.66999999998</v>
      </c>
      <c r="R14" s="19">
        <v>0</v>
      </c>
      <c r="S14" s="19">
        <v>8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x14ac:dyDescent="0.3">
      <c r="B15" s="6" t="s">
        <v>24</v>
      </c>
      <c r="C15" s="15" t="s">
        <v>32</v>
      </c>
      <c r="D15" s="16">
        <v>1992720.2399999991</v>
      </c>
      <c r="E15" s="16">
        <v>1883484.0499999996</v>
      </c>
      <c r="F15" s="16">
        <v>2304154.23</v>
      </c>
      <c r="G15" s="16">
        <v>2237231.3899999997</v>
      </c>
      <c r="H15" s="16">
        <v>2276326.92</v>
      </c>
      <c r="I15" s="20">
        <v>404</v>
      </c>
      <c r="J15" s="20">
        <v>93</v>
      </c>
      <c r="K15" s="20">
        <v>84</v>
      </c>
      <c r="L15" s="17">
        <f t="shared" si="0"/>
        <v>43.811881188118811</v>
      </c>
      <c r="M15" s="17">
        <f t="shared" si="1"/>
        <v>20.792079207920793</v>
      </c>
      <c r="N15" s="19">
        <v>21</v>
      </c>
      <c r="O15" s="18">
        <v>77621.500000000015</v>
      </c>
      <c r="P15" s="19">
        <v>52</v>
      </c>
      <c r="Q15" s="18">
        <v>107217.02999999998</v>
      </c>
      <c r="R15" s="19">
        <v>0</v>
      </c>
      <c r="S15" s="19">
        <v>2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</row>
    <row r="16" spans="1:48" x14ac:dyDescent="0.3">
      <c r="B16" s="6" t="s">
        <v>25</v>
      </c>
      <c r="C16" s="15" t="s">
        <v>33</v>
      </c>
      <c r="D16" s="16">
        <v>5775045.6299999971</v>
      </c>
      <c r="E16" s="16">
        <v>6121135.259999997</v>
      </c>
      <c r="F16" s="16">
        <v>5705171.7699999949</v>
      </c>
      <c r="G16" s="16">
        <v>6036313.9599999944</v>
      </c>
      <c r="H16" s="16">
        <v>5785424.0599999949</v>
      </c>
      <c r="I16" s="20">
        <v>676</v>
      </c>
      <c r="J16" s="20">
        <v>163</v>
      </c>
      <c r="K16" s="20">
        <v>178</v>
      </c>
      <c r="L16" s="17">
        <f t="shared" si="0"/>
        <v>50.443786982248518</v>
      </c>
      <c r="M16" s="17">
        <f t="shared" si="1"/>
        <v>26.331360946745562</v>
      </c>
      <c r="N16" s="19">
        <v>45</v>
      </c>
      <c r="O16" s="18">
        <v>605209.32999999973</v>
      </c>
      <c r="P16" s="19">
        <v>57</v>
      </c>
      <c r="Q16" s="18">
        <v>408234.90000000008</v>
      </c>
      <c r="R16" s="19">
        <v>2</v>
      </c>
      <c r="S16" s="19">
        <v>4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</row>
    <row r="17" spans="2:48" x14ac:dyDescent="0.3">
      <c r="B17" s="6" t="s">
        <v>26</v>
      </c>
      <c r="C17" s="15" t="s">
        <v>31</v>
      </c>
      <c r="D17" s="16">
        <v>1932748.1300000045</v>
      </c>
      <c r="E17" s="16">
        <v>1915709.0500000054</v>
      </c>
      <c r="F17" s="16">
        <v>1912935.0500000054</v>
      </c>
      <c r="G17" s="16">
        <v>1915732.7100000056</v>
      </c>
      <c r="H17" s="16">
        <v>1915912.7500000056</v>
      </c>
      <c r="I17" s="20">
        <v>1077</v>
      </c>
      <c r="J17" s="20">
        <v>73</v>
      </c>
      <c r="K17" s="20">
        <v>953</v>
      </c>
      <c r="L17" s="17">
        <f t="shared" si="0"/>
        <v>95.264623955431759</v>
      </c>
      <c r="M17" s="17">
        <f t="shared" si="1"/>
        <v>88.486536675951726</v>
      </c>
      <c r="N17" s="19">
        <v>0</v>
      </c>
      <c r="O17" s="18">
        <v>0</v>
      </c>
      <c r="P17" s="19">
        <v>1</v>
      </c>
      <c r="Q17" s="18">
        <v>180.04</v>
      </c>
      <c r="R17" s="19">
        <v>0</v>
      </c>
      <c r="S17" s="19">
        <v>0</v>
      </c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</row>
    <row r="18" spans="2:48" x14ac:dyDescent="0.3">
      <c r="B18" s="6" t="s">
        <v>27</v>
      </c>
      <c r="C18" s="15" t="s">
        <v>31</v>
      </c>
      <c r="D18" s="16">
        <v>8612557.3199999984</v>
      </c>
      <c r="E18" s="16">
        <v>8678208.9799999967</v>
      </c>
      <c r="F18" s="16">
        <v>8884638.6999999974</v>
      </c>
      <c r="G18" s="16">
        <v>8711463.8400000092</v>
      </c>
      <c r="H18" s="16">
        <v>8759099.6200000085</v>
      </c>
      <c r="I18" s="20">
        <v>213</v>
      </c>
      <c r="J18" s="20">
        <v>32</v>
      </c>
      <c r="K18" s="20">
        <v>41</v>
      </c>
      <c r="L18" s="17">
        <f t="shared" si="0"/>
        <v>34.272300469483568</v>
      </c>
      <c r="M18" s="17">
        <f t="shared" si="1"/>
        <v>19.248826291079812</v>
      </c>
      <c r="N18" s="19">
        <v>8</v>
      </c>
      <c r="O18" s="18">
        <v>16124.44</v>
      </c>
      <c r="P18" s="19">
        <v>14</v>
      </c>
      <c r="Q18" s="18">
        <v>63760.22</v>
      </c>
      <c r="R18" s="19">
        <v>0</v>
      </c>
      <c r="S18" s="19">
        <v>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</row>
    <row r="19" spans="2:48" x14ac:dyDescent="0.3">
      <c r="B19" s="6" t="s">
        <v>21</v>
      </c>
      <c r="C19" s="15" t="s">
        <v>31</v>
      </c>
      <c r="D19" s="16">
        <v>28858.229999999996</v>
      </c>
      <c r="E19" s="16">
        <v>60335.29</v>
      </c>
      <c r="F19" s="16">
        <v>111999.86</v>
      </c>
      <c r="G19" s="16">
        <v>65120.55</v>
      </c>
      <c r="H19" s="16">
        <v>64142.380000000005</v>
      </c>
      <c r="I19" s="20">
        <v>12</v>
      </c>
      <c r="J19" s="20">
        <v>2</v>
      </c>
      <c r="K19" s="20">
        <v>1</v>
      </c>
      <c r="L19" s="17">
        <f t="shared" si="0"/>
        <v>25</v>
      </c>
      <c r="M19" s="17">
        <f t="shared" si="1"/>
        <v>8.3333333333333321</v>
      </c>
      <c r="N19" s="19">
        <v>0</v>
      </c>
      <c r="O19" s="18">
        <v>0</v>
      </c>
      <c r="P19" s="19">
        <v>4</v>
      </c>
      <c r="Q19" s="18">
        <v>8521.83</v>
      </c>
      <c r="R19" s="19">
        <v>0</v>
      </c>
      <c r="S19" s="19">
        <v>0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</row>
    <row r="20" spans="2:48" x14ac:dyDescent="0.3">
      <c r="B20" s="6" t="s">
        <v>28</v>
      </c>
      <c r="C20" s="15" t="s">
        <v>20</v>
      </c>
      <c r="D20" s="16">
        <v>1792452.909999999</v>
      </c>
      <c r="E20" s="16">
        <v>1866893.1099999992</v>
      </c>
      <c r="F20" s="16">
        <v>1799313.7399999995</v>
      </c>
      <c r="G20" s="16">
        <v>1507085.0799999991</v>
      </c>
      <c r="H20" s="16">
        <v>1422417.4999999995</v>
      </c>
      <c r="I20" s="20">
        <v>161</v>
      </c>
      <c r="J20" s="20">
        <v>37</v>
      </c>
      <c r="K20" s="20">
        <v>90</v>
      </c>
      <c r="L20" s="17">
        <f t="shared" si="0"/>
        <v>78.881987577639762</v>
      </c>
      <c r="M20" s="17">
        <f t="shared" si="1"/>
        <v>55.900621118012417</v>
      </c>
      <c r="N20" s="19">
        <v>10</v>
      </c>
      <c r="O20" s="18">
        <v>84667.58</v>
      </c>
      <c r="P20" s="19">
        <v>0</v>
      </c>
      <c r="Q20" s="18">
        <v>0</v>
      </c>
      <c r="R20" s="19">
        <v>4</v>
      </c>
      <c r="S20" s="19">
        <v>5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</row>
    <row r="21" spans="2:48" x14ac:dyDescent="0.3">
      <c r="B21" s="6" t="s">
        <v>29</v>
      </c>
      <c r="C21" s="15" t="s">
        <v>32</v>
      </c>
      <c r="D21" s="16">
        <v>103534.87999999999</v>
      </c>
      <c r="E21" s="16">
        <v>101806.26999999999</v>
      </c>
      <c r="F21" s="16">
        <v>84781.669999999984</v>
      </c>
      <c r="G21" s="16">
        <v>68982.329999999987</v>
      </c>
      <c r="H21" s="16">
        <v>82855.27</v>
      </c>
      <c r="I21" s="20">
        <v>11</v>
      </c>
      <c r="J21" s="20">
        <v>3</v>
      </c>
      <c r="K21" s="20">
        <v>4</v>
      </c>
      <c r="L21" s="17">
        <f t="shared" si="0"/>
        <v>63.636363636363633</v>
      </c>
      <c r="M21" s="17">
        <f t="shared" si="1"/>
        <v>36.363636363636367</v>
      </c>
      <c r="N21" s="19">
        <v>1</v>
      </c>
      <c r="O21" s="18">
        <v>609.41999999999996</v>
      </c>
      <c r="P21" s="19">
        <v>1</v>
      </c>
      <c r="Q21" s="18">
        <v>14482.36</v>
      </c>
      <c r="R21" s="19">
        <v>0</v>
      </c>
      <c r="S21" s="19">
        <v>1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</row>
    <row r="22" spans="2:48" x14ac:dyDescent="0.3">
      <c r="B22" s="6" t="s">
        <v>30</v>
      </c>
      <c r="C22" s="15" t="s">
        <v>33</v>
      </c>
      <c r="D22" s="16">
        <v>2798958.6699999985</v>
      </c>
      <c r="E22" s="16">
        <v>2109345.5799999987</v>
      </c>
      <c r="F22" s="16">
        <v>1955844.0199999998</v>
      </c>
      <c r="G22" s="16">
        <v>1884946.2299999995</v>
      </c>
      <c r="H22" s="16">
        <v>2111951.7499999991</v>
      </c>
      <c r="I22" s="20">
        <v>92</v>
      </c>
      <c r="J22" s="20">
        <v>20</v>
      </c>
      <c r="K22" s="20">
        <v>16</v>
      </c>
      <c r="L22" s="17">
        <f t="shared" si="0"/>
        <v>39.130434782608695</v>
      </c>
      <c r="M22" s="17">
        <f t="shared" si="1"/>
        <v>17.391304347826086</v>
      </c>
      <c r="N22" s="19">
        <v>10</v>
      </c>
      <c r="O22" s="18">
        <v>24467.84</v>
      </c>
      <c r="P22" s="19">
        <v>8</v>
      </c>
      <c r="Q22" s="18">
        <v>252382.51</v>
      </c>
      <c r="R22" s="19">
        <v>0</v>
      </c>
      <c r="S22" s="19">
        <v>2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</row>
    <row r="23" spans="2:48" ht="18" customHeight="1" x14ac:dyDescent="0.3">
      <c r="B23" s="22"/>
      <c r="D23" s="22"/>
      <c r="E23" s="22"/>
      <c r="F23" s="22"/>
      <c r="G23" s="22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</row>
    <row r="24" spans="2:48" hidden="1" x14ac:dyDescent="0.3">
      <c r="B24" s="3"/>
    </row>
    <row r="25" spans="2:48" hidden="1" x14ac:dyDescent="0.3">
      <c r="B25" s="3"/>
    </row>
    <row r="32" spans="2:48" hidden="1" x14ac:dyDescent="0.3">
      <c r="G32" s="4"/>
    </row>
    <row r="33" spans="3:7" hidden="1" x14ac:dyDescent="0.3">
      <c r="G33" s="4"/>
    </row>
    <row r="34" spans="3:7" hidden="1" x14ac:dyDescent="0.3">
      <c r="C34" s="2"/>
      <c r="D34" s="2"/>
      <c r="E34" s="2"/>
      <c r="F34" s="2"/>
    </row>
    <row r="35" spans="3:7" x14ac:dyDescent="0.3"/>
  </sheetData>
  <mergeCells count="2">
    <mergeCell ref="A1:A4"/>
    <mergeCell ref="A7:S7"/>
  </mergeCells>
  <conditionalFormatting sqref="I13:K22">
    <cfRule type="cellIs" dxfId="2" priority="1" operator="equal">
      <formula>#REF!</formula>
    </cfRule>
    <cfRule type="cellIs" dxfId="1" priority="2" operator="lessThan">
      <formula>#REF!</formula>
    </cfRule>
    <cfRule type="cellIs" dxfId="0" priority="3" operator="greaterThan">
      <formula>#REF!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2025-02-28T23:48:25Z</dcterms:created>
  <dcterms:modified xsi:type="dcterms:W3CDTF">2026-06-30T14:10:27Z</dcterms:modified>
</cp:coreProperties>
</file>